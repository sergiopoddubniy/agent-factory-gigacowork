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1" sheetId="1" state="visible" r:id="rId1"/>
    <sheet xmlns:r="http://schemas.openxmlformats.org/officeDocument/2006/relationships" name="Ф2" sheetId="2" state="visible" r:id="rId2"/>
    <sheet xmlns:r="http://schemas.openxmlformats.org/officeDocument/2006/relationships" name="Журнал корректировок" sheetId="3" state="visible" r:id="rId3"/>
    <sheet xmlns:r="http://schemas.openxmlformats.org/officeDocument/2006/relationships" name="Проверки" sheetId="4" state="visible" r:id="rId4"/>
    <sheet xmlns:r="http://schemas.openxmlformats.org/officeDocument/2006/relationships" name="Итог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4" fontId="0" fillId="0" borderId="1" pivotButton="0" quotePrefix="0" xfId="0"/>
    <xf numFmtId="0" fontId="2" fillId="0" borderId="1" pivotButton="0" quotePrefix="0" xfId="0"/>
    <xf numFmtId="4" fontId="2" fillId="3" borderId="1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6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>
      <c r="A1" s="1" t="inlineStr">
        <is>
          <t>Группа «Северный порт» — Бухгалтерский баланс (консолидированный), руб.</t>
        </is>
      </c>
    </row>
    <row r="2">
      <c r="A2" t="inlineStr">
        <is>
          <t>Период: 1 квартал 2026 г.</t>
        </is>
      </c>
    </row>
    <row r="4">
      <c r="A4" s="2" t="inlineStr">
        <is>
          <t>Код</t>
        </is>
      </c>
      <c r="B4" s="2" t="inlineStr">
        <is>
          <t>Статья</t>
        </is>
      </c>
      <c r="C4" s="2" t="inlineStr">
        <is>
          <t>АО «Северный порт»</t>
        </is>
      </c>
      <c r="D4" s="2" t="inlineStr">
        <is>
          <t>ООО «Порт-Логистика»</t>
        </is>
      </c>
      <c r="E4" s="2" t="inlineStr">
        <is>
          <t>ООО «Порт-Сервис»</t>
        </is>
      </c>
      <c r="F4" s="2" t="inlineStr">
        <is>
          <t>Сумма по группе</t>
        </is>
      </c>
      <c r="G4" s="2" t="inlineStr">
        <is>
          <t>Корректировки</t>
        </is>
      </c>
      <c r="H4" s="2" t="inlineStr">
        <is>
          <t>Элиминации</t>
        </is>
      </c>
      <c r="I4" s="2" t="inlineStr">
        <is>
          <t>Консолидировано</t>
        </is>
      </c>
    </row>
    <row r="5">
      <c r="A5" s="3" t="inlineStr">
        <is>
          <t>1150</t>
        </is>
      </c>
      <c r="B5" s="3" t="inlineStr">
        <is>
          <t>Основные средства</t>
        </is>
      </c>
      <c r="C5" s="4" t="n">
        <v>34300000</v>
      </c>
      <c r="D5" s="4" t="n">
        <v>14180000</v>
      </c>
      <c r="E5" s="4" t="n">
        <v>6090000</v>
      </c>
      <c r="F5" s="4">
        <f>SUM(C5:E5)</f>
        <v/>
      </c>
      <c r="G5" s="4" t="n"/>
      <c r="H5" s="4" t="n"/>
      <c r="I5" s="4">
        <f>F5+G5-H5</f>
        <v/>
      </c>
    </row>
    <row r="6">
      <c r="A6" s="3" t="inlineStr">
        <is>
          <t>1170</t>
        </is>
      </c>
      <c r="B6" s="3" t="inlineStr">
        <is>
          <t>Финансовые вложения</t>
        </is>
      </c>
      <c r="C6" s="4" t="n">
        <v>10000000</v>
      </c>
      <c r="D6" s="4" t="n">
        <v>0</v>
      </c>
      <c r="E6" s="4" t="n">
        <v>0</v>
      </c>
      <c r="F6" s="4">
        <f>SUM(C6:E6)</f>
        <v/>
      </c>
      <c r="G6" s="4" t="n"/>
      <c r="H6" s="4" t="n">
        <v>10000000</v>
      </c>
      <c r="I6" s="4">
        <f>F6+G6-H6</f>
        <v/>
      </c>
    </row>
    <row r="7">
      <c r="A7" s="3" t="inlineStr">
        <is>
          <t>1190</t>
        </is>
      </c>
      <c r="B7" s="3" t="inlineStr">
        <is>
          <t>Прочие внеоборотные активы</t>
        </is>
      </c>
      <c r="C7" s="4" t="n">
        <v>0</v>
      </c>
      <c r="D7" s="4" t="n">
        <v>0</v>
      </c>
      <c r="E7" s="4" t="n">
        <v>0</v>
      </c>
      <c r="F7" s="4">
        <f>SUM(C7:E7)</f>
        <v/>
      </c>
      <c r="G7" s="4" t="n"/>
      <c r="H7" s="4" t="n"/>
      <c r="I7" s="4">
        <f>F7+G7-H7</f>
        <v/>
      </c>
    </row>
    <row r="8">
      <c r="A8" s="5" t="inlineStr">
        <is>
          <t>1100</t>
        </is>
      </c>
      <c r="B8" s="5" t="inlineStr">
        <is>
          <t>Итого по разделу I</t>
        </is>
      </c>
      <c r="C8" s="6">
        <f>C5+C6+C7</f>
        <v/>
      </c>
      <c r="D8" s="6">
        <f>D5+D6+D7</f>
        <v/>
      </c>
      <c r="E8" s="6">
        <f>E5+E6+E7</f>
        <v/>
      </c>
      <c r="F8" s="6">
        <f>F5+F6+F7</f>
        <v/>
      </c>
      <c r="G8" s="6">
        <f>G5+G6+G7</f>
        <v/>
      </c>
      <c r="H8" s="6">
        <f>H5+H6+H7</f>
        <v/>
      </c>
      <c r="I8" s="6">
        <f>I5+I6+I7</f>
        <v/>
      </c>
    </row>
    <row r="9">
      <c r="A9" s="3" t="inlineStr">
        <is>
          <t>1210</t>
        </is>
      </c>
      <c r="B9" s="3" t="inlineStr">
        <is>
          <t>Запасы</t>
        </is>
      </c>
      <c r="C9" s="4" t="n">
        <v>3450000</v>
      </c>
      <c r="D9" s="4" t="n">
        <v>3650000</v>
      </c>
      <c r="E9" s="4" t="n">
        <v>750000</v>
      </c>
      <c r="F9" s="4">
        <f>SUM(C9:E9)</f>
        <v/>
      </c>
      <c r="G9" s="4" t="n"/>
      <c r="H9" s="4" t="n"/>
      <c r="I9" s="4">
        <f>F9+G9-H9</f>
        <v/>
      </c>
    </row>
    <row r="10">
      <c r="A10" s="3" t="inlineStr">
        <is>
          <t>1230</t>
        </is>
      </c>
      <c r="B10" s="3" t="inlineStr">
        <is>
          <t>Дебиторская задолженность</t>
        </is>
      </c>
      <c r="C10" s="4" t="n">
        <v>7400000</v>
      </c>
      <c r="D10" s="4" t="n">
        <v>5500000</v>
      </c>
      <c r="E10" s="4" t="n">
        <v>2300000</v>
      </c>
      <c r="F10" s="4">
        <f>SUM(C10:E10)</f>
        <v/>
      </c>
      <c r="G10" s="4" t="n"/>
      <c r="H10" s="4" t="n">
        <v>2040000</v>
      </c>
      <c r="I10" s="4">
        <f>F10+G10-H10</f>
        <v/>
      </c>
    </row>
    <row r="11">
      <c r="A11" s="3" t="inlineStr">
        <is>
          <t>1250</t>
        </is>
      </c>
      <c r="B11" s="3" t="inlineStr">
        <is>
          <t>Денежные средства и денежные эквиваленты</t>
        </is>
      </c>
      <c r="C11" s="4" t="n">
        <v>14570000</v>
      </c>
      <c r="D11" s="4" t="n">
        <v>5430000</v>
      </c>
      <c r="E11" s="4" t="n">
        <v>3180000</v>
      </c>
      <c r="F11" s="4">
        <f>SUM(C11:E11)</f>
        <v/>
      </c>
      <c r="G11" s="4" t="n"/>
      <c r="H11" s="4" t="n"/>
      <c r="I11" s="4">
        <f>F11+G11-H11</f>
        <v/>
      </c>
    </row>
    <row r="12">
      <c r="A12" s="3" t="inlineStr">
        <is>
          <t>1260</t>
        </is>
      </c>
      <c r="B12" s="3" t="inlineStr">
        <is>
          <t>Прочие оборотные активы</t>
        </is>
      </c>
      <c r="C12" s="4" t="n">
        <v>0</v>
      </c>
      <c r="D12" s="4" t="n">
        <v>0</v>
      </c>
      <c r="E12" s="4" t="n">
        <v>0</v>
      </c>
      <c r="F12" s="4">
        <f>SUM(C12:E12)</f>
        <v/>
      </c>
      <c r="G12" s="4" t="n"/>
      <c r="H12" s="4" t="n"/>
      <c r="I12" s="4">
        <f>F12+G12-H12</f>
        <v/>
      </c>
    </row>
    <row r="13">
      <c r="A13" s="5" t="inlineStr">
        <is>
          <t>1200</t>
        </is>
      </c>
      <c r="B13" s="5" t="inlineStr">
        <is>
          <t>Итого по разделу II</t>
        </is>
      </c>
      <c r="C13" s="6">
        <f>C9+C10+C11+C12</f>
        <v/>
      </c>
      <c r="D13" s="6">
        <f>D9+D10+D11+D12</f>
        <v/>
      </c>
      <c r="E13" s="6">
        <f>E9+E10+E11+E12</f>
        <v/>
      </c>
      <c r="F13" s="6">
        <f>F9+F10+F11+F12</f>
        <v/>
      </c>
      <c r="G13" s="6">
        <f>G9+G10+G11+G12</f>
        <v/>
      </c>
      <c r="H13" s="6">
        <f>H9+H10+H11+H12</f>
        <v/>
      </c>
      <c r="I13" s="6">
        <f>I9+I10+I11+I12</f>
        <v/>
      </c>
    </row>
    <row r="14">
      <c r="A14" s="5" t="inlineStr">
        <is>
          <t>1600</t>
        </is>
      </c>
      <c r="B14" s="5" t="inlineStr">
        <is>
          <t>БАЛАНС (актив)</t>
        </is>
      </c>
      <c r="C14" s="6">
        <f>C8+C13</f>
        <v/>
      </c>
      <c r="D14" s="6">
        <f>D8+D13</f>
        <v/>
      </c>
      <c r="E14" s="6">
        <f>E8+E13</f>
        <v/>
      </c>
      <c r="F14" s="6">
        <f>F8+F13</f>
        <v/>
      </c>
      <c r="G14" s="6">
        <f>G8+G13</f>
        <v/>
      </c>
      <c r="H14" s="6">
        <f>H8+H13</f>
        <v/>
      </c>
      <c r="I14" s="6">
        <f>I8+I13</f>
        <v/>
      </c>
    </row>
    <row r="15">
      <c r="A15" s="3" t="inlineStr">
        <is>
          <t>1310</t>
        </is>
      </c>
      <c r="B15" s="3" t="inlineStr">
        <is>
          <t>Уставный капитал</t>
        </is>
      </c>
      <c r="C15" s="4" t="n">
        <v>25000000</v>
      </c>
      <c r="D15" s="4" t="n">
        <v>6000000</v>
      </c>
      <c r="E15" s="4" t="n">
        <v>4000000</v>
      </c>
      <c r="F15" s="4">
        <f>SUM(C15:E15)</f>
        <v/>
      </c>
      <c r="G15" s="4" t="n"/>
      <c r="H15" s="4" t="n">
        <v>10000000</v>
      </c>
      <c r="I15" s="4">
        <f>F15+G15-H15</f>
        <v/>
      </c>
    </row>
    <row r="16">
      <c r="A16" s="3" t="inlineStr">
        <is>
          <t>1370</t>
        </is>
      </c>
      <c r="B16" s="3" t="inlineStr">
        <is>
          <t>Нераспределенная прибыль (непокрытый убыток)</t>
        </is>
      </c>
      <c r="C16" s="4" t="n">
        <v>20456000</v>
      </c>
      <c r="D16" s="4" t="n">
        <v>6608000</v>
      </c>
      <c r="E16" s="4" t="n">
        <v>3816000</v>
      </c>
      <c r="F16" s="4">
        <f>SUM(C16:E16)</f>
        <v/>
      </c>
      <c r="G16" s="4" t="n">
        <v>-20000</v>
      </c>
      <c r="H16" s="4" t="n"/>
      <c r="I16" s="4">
        <f>F16+G16-H16</f>
        <v/>
      </c>
    </row>
    <row r="17">
      <c r="A17" s="5" t="inlineStr">
        <is>
          <t>1300</t>
        </is>
      </c>
      <c r="B17" s="5" t="inlineStr">
        <is>
          <t>Итого по разделу III</t>
        </is>
      </c>
      <c r="C17" s="6">
        <f>C15+C16</f>
        <v/>
      </c>
      <c r="D17" s="6">
        <f>D15+D16</f>
        <v/>
      </c>
      <c r="E17" s="6">
        <f>E15+E16</f>
        <v/>
      </c>
      <c r="F17" s="6">
        <f>F15+F16</f>
        <v/>
      </c>
      <c r="G17" s="6">
        <f>G15+G16</f>
        <v/>
      </c>
      <c r="H17" s="6">
        <f>H15+H16</f>
        <v/>
      </c>
      <c r="I17" s="6">
        <f>I15+I16</f>
        <v/>
      </c>
    </row>
    <row r="18">
      <c r="A18" s="3" t="inlineStr">
        <is>
          <t>1410</t>
        </is>
      </c>
      <c r="B18" s="3" t="inlineStr">
        <is>
          <t>Заемные средства (долгосрочные)</t>
        </is>
      </c>
      <c r="C18" s="4" t="n">
        <v>20000000</v>
      </c>
      <c r="D18" s="4" t="n">
        <v>12000000</v>
      </c>
      <c r="E18" s="4" t="n">
        <v>3000000</v>
      </c>
      <c r="F18" s="4">
        <f>SUM(C18:E18)</f>
        <v/>
      </c>
      <c r="G18" s="4" t="n"/>
      <c r="H18" s="4" t="n"/>
      <c r="I18" s="4">
        <f>F18+G18-H18</f>
        <v/>
      </c>
    </row>
    <row r="19">
      <c r="A19" s="5" t="inlineStr">
        <is>
          <t>1400</t>
        </is>
      </c>
      <c r="B19" s="5" t="inlineStr">
        <is>
          <t>Итого по разделу IV</t>
        </is>
      </c>
      <c r="C19" s="6">
        <f>C18</f>
        <v/>
      </c>
      <c r="D19" s="6">
        <f>D18</f>
        <v/>
      </c>
      <c r="E19" s="6">
        <f>E18</f>
        <v/>
      </c>
      <c r="F19" s="6">
        <f>F18</f>
        <v/>
      </c>
      <c r="G19" s="6">
        <f>G18</f>
        <v/>
      </c>
      <c r="H19" s="6">
        <f>H18</f>
        <v/>
      </c>
      <c r="I19" s="6">
        <f>I18</f>
        <v/>
      </c>
    </row>
    <row r="20">
      <c r="A20" s="3" t="inlineStr">
        <is>
          <t>1520</t>
        </is>
      </c>
      <c r="B20" s="3" t="inlineStr">
        <is>
          <t>Кредиторская задолженность</t>
        </is>
      </c>
      <c r="C20" s="4" t="n">
        <v>4264000</v>
      </c>
      <c r="D20" s="4" t="n">
        <v>4152000</v>
      </c>
      <c r="E20" s="4" t="n">
        <v>1504000</v>
      </c>
      <c r="F20" s="4">
        <f>SUM(C20:E20)</f>
        <v/>
      </c>
      <c r="G20" s="4" t="n">
        <v>20000</v>
      </c>
      <c r="H20" s="4" t="n">
        <v>2040000</v>
      </c>
      <c r="I20" s="4">
        <f>F20+G20-H20</f>
        <v/>
      </c>
    </row>
    <row r="21">
      <c r="A21" s="3" t="inlineStr">
        <is>
          <t>1540</t>
        </is>
      </c>
      <c r="B21" s="3" t="inlineStr">
        <is>
          <t>Оценочные обязательства</t>
        </is>
      </c>
      <c r="C21" s="4" t="n">
        <v>0</v>
      </c>
      <c r="D21" s="4" t="n">
        <v>0</v>
      </c>
      <c r="E21" s="4" t="n">
        <v>0</v>
      </c>
      <c r="F21" s="4">
        <f>SUM(C21:E21)</f>
        <v/>
      </c>
      <c r="G21" s="4" t="n"/>
      <c r="H21" s="4" t="n"/>
      <c r="I21" s="4">
        <f>F21+G21-H21</f>
        <v/>
      </c>
    </row>
    <row r="22">
      <c r="A22" s="5" t="inlineStr">
        <is>
          <t>1500</t>
        </is>
      </c>
      <c r="B22" s="5" t="inlineStr">
        <is>
          <t>Итого по разделу V</t>
        </is>
      </c>
      <c r="C22" s="6">
        <f>C20+C21</f>
        <v/>
      </c>
      <c r="D22" s="6">
        <f>D20+D21</f>
        <v/>
      </c>
      <c r="E22" s="6">
        <f>E20+E21</f>
        <v/>
      </c>
      <c r="F22" s="6">
        <f>F20+F21</f>
        <v/>
      </c>
      <c r="G22" s="6">
        <f>G20+G21</f>
        <v/>
      </c>
      <c r="H22" s="6">
        <f>H20+H21</f>
        <v/>
      </c>
      <c r="I22" s="6">
        <f>I20+I21</f>
        <v/>
      </c>
    </row>
    <row r="23">
      <c r="A23" s="5" t="inlineStr">
        <is>
          <t>1700</t>
        </is>
      </c>
      <c r="B23" s="5" t="inlineStr">
        <is>
          <t>БАЛАНС (пассив)</t>
        </is>
      </c>
      <c r="C23" s="6">
        <f>C17+C19+C22</f>
        <v/>
      </c>
      <c r="D23" s="6">
        <f>D17+D19+D22</f>
        <v/>
      </c>
      <c r="E23" s="6">
        <f>E17+E19+E22</f>
        <v/>
      </c>
      <c r="F23" s="6">
        <f>F17+F19+F22</f>
        <v/>
      </c>
      <c r="G23" s="6">
        <f>G17+G19+G22</f>
        <v/>
      </c>
      <c r="H23" s="6">
        <f>H17+H19+H22</f>
        <v/>
      </c>
      <c r="I23" s="6">
        <f>I17+I19+I22</f>
        <v/>
      </c>
    </row>
    <row r="25">
      <c r="B25" t="inlineStr">
        <is>
          <t>Контроль: актив − пассив (должно быть 0)</t>
        </is>
      </c>
      <c r="C25" s="7">
        <f>C14-C23</f>
        <v/>
      </c>
      <c r="D25" s="7">
        <f>D14-D23</f>
        <v/>
      </c>
      <c r="E25" s="7">
        <f>E14-E23</f>
        <v/>
      </c>
      <c r="F25" s="7">
        <f>F14-F23</f>
        <v/>
      </c>
      <c r="G25" s="7">
        <f>G14-G23</f>
        <v/>
      </c>
      <c r="H25" s="7">
        <f>H14-H23</f>
        <v/>
      </c>
      <c r="I25" s="7">
        <f>I14-I23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6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>
      <c r="A1" s="1" t="inlineStr">
        <is>
          <t>Группа «Северный порт» — Отчет о финансовых результатах (консолидированный), руб.</t>
        </is>
      </c>
    </row>
    <row r="2">
      <c r="A2" t="inlineStr">
        <is>
          <t>Период: 1 квартал 2026 г.</t>
        </is>
      </c>
    </row>
    <row r="4">
      <c r="A4" s="2" t="inlineStr">
        <is>
          <t>Код</t>
        </is>
      </c>
      <c r="B4" s="2" t="inlineStr">
        <is>
          <t>Статья</t>
        </is>
      </c>
      <c r="C4" s="2" t="inlineStr">
        <is>
          <t>АО «Северный порт»</t>
        </is>
      </c>
      <c r="D4" s="2" t="inlineStr">
        <is>
          <t>ООО «Порт-Логистика»</t>
        </is>
      </c>
      <c r="E4" s="2" t="inlineStr">
        <is>
          <t>ООО «Порт-Сервис»</t>
        </is>
      </c>
      <c r="F4" s="2" t="inlineStr">
        <is>
          <t>Сумма по группе</t>
        </is>
      </c>
      <c r="G4" s="2" t="inlineStr">
        <is>
          <t>Корректировки</t>
        </is>
      </c>
      <c r="H4" s="2" t="inlineStr">
        <is>
          <t>Элиминации</t>
        </is>
      </c>
      <c r="I4" s="2" t="inlineStr">
        <is>
          <t>Консолидировано</t>
        </is>
      </c>
    </row>
    <row r="5">
      <c r="A5" s="3" t="inlineStr">
        <is>
          <t>2110</t>
        </is>
      </c>
      <c r="B5" s="3" t="inlineStr">
        <is>
          <t>Выручка</t>
        </is>
      </c>
      <c r="C5" s="4" t="n">
        <v>31200000</v>
      </c>
      <c r="D5" s="4" t="n">
        <v>17800000</v>
      </c>
      <c r="E5" s="4" t="n">
        <v>6900000</v>
      </c>
      <c r="F5" s="4">
        <f>SUM(C5:E5)</f>
        <v/>
      </c>
      <c r="G5" s="4" t="n"/>
      <c r="H5" s="4" t="n">
        <v>6120000</v>
      </c>
      <c r="I5" s="4">
        <f>F5+G5-H5</f>
        <v/>
      </c>
    </row>
    <row r="6">
      <c r="A6" s="3" t="inlineStr">
        <is>
          <t>2120</t>
        </is>
      </c>
      <c r="B6" s="3" t="inlineStr">
        <is>
          <t>Себестоимость продаж</t>
        </is>
      </c>
      <c r="C6" s="4" t="n">
        <v>24100000</v>
      </c>
      <c r="D6" s="4" t="n">
        <v>14900000</v>
      </c>
      <c r="E6" s="4" t="n">
        <v>5300000</v>
      </c>
      <c r="F6" s="4">
        <f>SUM(C6:E6)</f>
        <v/>
      </c>
      <c r="G6" s="4" t="n">
        <v>20000</v>
      </c>
      <c r="H6" s="4" t="n">
        <v>6120000</v>
      </c>
      <c r="I6" s="4">
        <f>F6+G6-H6</f>
        <v/>
      </c>
    </row>
    <row r="7">
      <c r="A7" s="5" t="inlineStr">
        <is>
          <t>2200</t>
        </is>
      </c>
      <c r="B7" s="5" t="inlineStr">
        <is>
          <t>Прибыль (убыток) от продаж</t>
        </is>
      </c>
      <c r="C7" s="6">
        <f>C5-C6</f>
        <v/>
      </c>
      <c r="D7" s="6">
        <f>D5-D6</f>
        <v/>
      </c>
      <c r="E7" s="6">
        <f>E5-E6</f>
        <v/>
      </c>
      <c r="F7" s="6">
        <f>F5-F6</f>
        <v/>
      </c>
      <c r="G7" s="6">
        <f>G5-G6</f>
        <v/>
      </c>
      <c r="H7" s="6">
        <f>H5-H6</f>
        <v/>
      </c>
      <c r="I7" s="6">
        <f>I5-I6</f>
        <v/>
      </c>
    </row>
    <row r="8">
      <c r="A8" s="3" t="inlineStr">
        <is>
          <t>2340</t>
        </is>
      </c>
      <c r="B8" s="3" t="inlineStr">
        <is>
          <t>Прочие доходы</t>
        </is>
      </c>
      <c r="C8" s="4" t="n">
        <v>410000</v>
      </c>
      <c r="D8" s="4" t="n">
        <v>120000</v>
      </c>
      <c r="E8" s="4" t="n">
        <v>60000</v>
      </c>
      <c r="F8" s="4">
        <f>SUM(C8:E8)</f>
        <v/>
      </c>
      <c r="G8" s="4" t="n"/>
      <c r="H8" s="4" t="n"/>
      <c r="I8" s="4">
        <f>F8+G8-H8</f>
        <v/>
      </c>
    </row>
    <row r="9">
      <c r="A9" s="3" t="inlineStr">
        <is>
          <t>2350</t>
        </is>
      </c>
      <c r="B9" s="3" t="inlineStr">
        <is>
          <t>Прочие расходы</t>
        </is>
      </c>
      <c r="C9" s="4" t="n">
        <v>690000</v>
      </c>
      <c r="D9" s="4" t="n">
        <v>260000</v>
      </c>
      <c r="E9" s="4" t="n">
        <v>140000</v>
      </c>
      <c r="F9" s="4">
        <f>SUM(C9:E9)</f>
        <v/>
      </c>
      <c r="G9" s="4" t="n"/>
      <c r="H9" s="4" t="n"/>
      <c r="I9" s="4">
        <f>F9+G9-H9</f>
        <v/>
      </c>
    </row>
    <row r="10">
      <c r="A10" s="5" t="inlineStr">
        <is>
          <t>2300</t>
        </is>
      </c>
      <c r="B10" s="5" t="inlineStr">
        <is>
          <t>Прибыль (убыток) до налогообложения</t>
        </is>
      </c>
      <c r="C10" s="6">
        <f>C7+C8-C9</f>
        <v/>
      </c>
      <c r="D10" s="6">
        <f>D7+D8-D9</f>
        <v/>
      </c>
      <c r="E10" s="6">
        <f>E7+E8-E9</f>
        <v/>
      </c>
      <c r="F10" s="6">
        <f>F7+F8-F9</f>
        <v/>
      </c>
      <c r="G10" s="6">
        <f>G7+G8-G9</f>
        <v/>
      </c>
      <c r="H10" s="6">
        <f>H7+H8-H9</f>
        <v/>
      </c>
      <c r="I10" s="6">
        <f>I7+I8-I9</f>
        <v/>
      </c>
    </row>
    <row r="11">
      <c r="A11" s="3" t="inlineStr">
        <is>
          <t>2410</t>
        </is>
      </c>
      <c r="B11" s="3" t="inlineStr">
        <is>
          <t>Налог на прибыль</t>
        </is>
      </c>
      <c r="C11" s="4" t="n">
        <v>1364000</v>
      </c>
      <c r="D11" s="4" t="n">
        <v>552000</v>
      </c>
      <c r="E11" s="4" t="n">
        <v>304000</v>
      </c>
      <c r="F11" s="4">
        <f>SUM(C11:E11)</f>
        <v/>
      </c>
      <c r="G11" s="4" t="n"/>
      <c r="H11" s="4" t="n"/>
      <c r="I11" s="4">
        <f>F11+G11-H11</f>
        <v/>
      </c>
    </row>
    <row r="12">
      <c r="A12" s="5" t="inlineStr">
        <is>
          <t>2400</t>
        </is>
      </c>
      <c r="B12" s="5" t="inlineStr">
        <is>
          <t>Чистая прибыль (убыток)</t>
        </is>
      </c>
      <c r="C12" s="6">
        <f>C10-C11</f>
        <v/>
      </c>
      <c r="D12" s="6">
        <f>D10-D11</f>
        <v/>
      </c>
      <c r="E12" s="6">
        <f>E10-E11</f>
        <v/>
      </c>
      <c r="F12" s="6">
        <f>F10-F11</f>
        <v/>
      </c>
      <c r="G12" s="6">
        <f>G10-G11</f>
        <v/>
      </c>
      <c r="H12" s="6">
        <f>H10-H11</f>
        <v/>
      </c>
      <c r="I12" s="6">
        <f>I10-I11</f>
        <v/>
      </c>
    </row>
    <row r="14">
      <c r="B14" t="inlineStr">
        <is>
          <t>Контроль: чистая прибыль по Ф2 − прирост нераспределённой прибыли (справочно, заполняется вручную)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2" max="2"/>
    <col width="40" customWidth="1" min="3" max="3"/>
    <col width="110" customWidth="1" min="4" max="4"/>
    <col width="16" customWidth="1" min="5" max="5"/>
  </cols>
  <sheetData>
    <row r="1">
      <c r="A1" s="8" t="inlineStr">
        <is>
          <t>№</t>
        </is>
      </c>
      <c r="B1" s="8" t="inlineStr">
        <is>
          <t>Вид</t>
        </is>
      </c>
      <c r="C1" s="8" t="inlineStr">
        <is>
          <t>Компания / пара</t>
        </is>
      </c>
      <c r="D1" s="8" t="inlineStr">
        <is>
          <t>Содержание</t>
        </is>
      </c>
      <c r="E1" s="8" t="inlineStr">
        <is>
          <t>Сумма, руб.</t>
        </is>
      </c>
    </row>
    <row r="2">
      <c r="A2" t="n">
        <v>1</v>
      </c>
      <c r="B2" t="inlineStr">
        <is>
          <t>Элиминация</t>
        </is>
      </c>
      <c r="C2" t="inlineStr">
        <is>
          <t>АО «Северный порт» → ООО «Порт-Логистика»</t>
        </is>
      </c>
      <c r="D2" t="inlineStr">
        <is>
          <t>ДЗ/КЗ 1 450 000; выручка/себестоимость 4 350 000</t>
        </is>
      </c>
      <c r="E2" t="n">
        <v>1450000</v>
      </c>
    </row>
    <row r="3">
      <c r="A3" t="n">
        <v>2</v>
      </c>
      <c r="B3" t="inlineStr">
        <is>
          <t>Корректировка</t>
        </is>
      </c>
      <c r="C3" t="inlineStr">
        <is>
          <t>ООО «Порт-Сервис»</t>
        </is>
      </c>
      <c r="D3" t="inlineStr">
        <is>
          <t>Доначисление по операциям с ООО «Порт-Логистика»: себестоимость +20 000; кредиторская задолженность +20 000; нераспределённая прибыль −20 000</t>
        </is>
      </c>
      <c r="E3" t="n">
        <v>20000</v>
      </c>
    </row>
    <row r="4">
      <c r="A4" t="n">
        <v>3</v>
      </c>
      <c r="B4" t="inlineStr">
        <is>
          <t>Элиминация</t>
        </is>
      </c>
      <c r="C4" t="inlineStr">
        <is>
          <t>ООО «Порт-Логистика» → ООО «Порт-Сервис»</t>
        </is>
      </c>
      <c r="D4" t="inlineStr">
        <is>
          <t>ДЗ/КЗ 380 000; выручка/себестоимость 1 140 000</t>
        </is>
      </c>
      <c r="E4" t="n">
        <v>380000</v>
      </c>
    </row>
    <row r="5">
      <c r="A5" t="n">
        <v>4</v>
      </c>
      <c r="B5" t="inlineStr">
        <is>
          <t>Элиминация</t>
        </is>
      </c>
      <c r="C5" t="inlineStr">
        <is>
          <t>ООО «Порт-Сервис» → АО «Северный порт»</t>
        </is>
      </c>
      <c r="D5" t="inlineStr">
        <is>
          <t>ДЗ/КЗ 210 000; выручка/себестоимость 630 000</t>
        </is>
      </c>
      <c r="E5" t="n">
        <v>210000</v>
      </c>
    </row>
    <row r="6">
      <c r="A6" t="n">
        <v>5</v>
      </c>
      <c r="B6" t="inlineStr">
        <is>
          <t>Элиминация</t>
        </is>
      </c>
      <c r="C6" t="inlineStr">
        <is>
          <t>инвестиции ↔ уставный капитал</t>
        </is>
      </c>
      <c r="D6" t="inlineStr">
        <is>
          <t>1170 у материнской −10 000 000; 1310 у дочерних −10 000 000</t>
        </is>
      </c>
      <c r="E6" t="n">
        <v>10000000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8" customWidth="1" min="3" max="3"/>
  </cols>
  <sheetData>
    <row r="1">
      <c r="A1" s="8" t="inlineStr">
        <is>
          <t>Проверка</t>
        </is>
      </c>
      <c r="B1" s="8" t="inlineStr">
        <is>
          <t>Ожидание</t>
        </is>
      </c>
      <c r="C1" s="8" t="inlineStr">
        <is>
          <t>Факт</t>
        </is>
      </c>
      <c r="D1" s="8" t="inlineStr">
        <is>
          <t>Статус</t>
        </is>
      </c>
    </row>
    <row r="2">
      <c r="A2" t="inlineStr">
        <is>
          <t>Актив = Пассив (консолидировано)</t>
        </is>
      </c>
      <c r="B2" t="n">
        <v>98760000</v>
      </c>
      <c r="C2" t="n">
        <v>98760000</v>
      </c>
      <c r="D2" t="inlineStr">
        <is>
          <t>OK</t>
        </is>
      </c>
    </row>
    <row r="3">
      <c r="A3" t="inlineStr">
        <is>
          <t>1230 конс. = Σ1230 − ВГО ДЗ</t>
        </is>
      </c>
      <c r="B3" t="n">
        <v>13160000</v>
      </c>
      <c r="C3" t="n">
        <v>13160000</v>
      </c>
      <c r="D3" t="inlineStr">
        <is>
          <t>OK</t>
        </is>
      </c>
    </row>
    <row r="4">
      <c r="A4" t="inlineStr">
        <is>
          <t>1520 конс. = Σ1520 + корректировки − ВГО КЗ</t>
        </is>
      </c>
      <c r="B4" t="n">
        <v>7900000</v>
      </c>
      <c r="C4" t="n">
        <v>7900000</v>
      </c>
      <c r="D4" t="inlineStr">
        <is>
          <t>OK</t>
        </is>
      </c>
    </row>
    <row r="5">
      <c r="A5" t="inlineStr">
        <is>
          <t>2110 конс. = Σ2110 − ВГО выручка</t>
        </is>
      </c>
      <c r="B5" t="n">
        <v>49780000</v>
      </c>
      <c r="C5" t="n">
        <v>49780000</v>
      </c>
      <c r="D5" t="inlineStr">
        <is>
          <t>OK</t>
        </is>
      </c>
    </row>
    <row r="6">
      <c r="A6" t="inlineStr">
        <is>
          <t>2400 конс. = Σ2400 − Σ корректировок</t>
        </is>
      </c>
      <c r="B6" t="n">
        <v>8860000</v>
      </c>
      <c r="C6" t="n">
        <v>8860000</v>
      </c>
      <c r="D6" t="inlineStr">
        <is>
          <t>OK</t>
        </is>
      </c>
    </row>
    <row r="7">
      <c r="A7" t="inlineStr">
        <is>
          <t>1170 материнской = Σ1310 дочерних</t>
        </is>
      </c>
      <c r="B7" t="n">
        <v>10000000</v>
      </c>
      <c r="C7" t="n">
        <v>10000000</v>
      </c>
      <c r="D7" t="inlineStr">
        <is>
          <t>OK</t>
        </is>
      </c>
    </row>
    <row r="8">
      <c r="A8" t="inlineStr">
        <is>
          <t>1370 конс. − Σ1370 = −Σ корректировок</t>
        </is>
      </c>
      <c r="B8" t="n">
        <v>-20000</v>
      </c>
      <c r="C8" t="n">
        <v>-20000</v>
      </c>
      <c r="D8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6" customWidth="1" min="2" max="2"/>
    <col width="22" customWidth="1" min="3" max="3"/>
  </cols>
  <sheetData>
    <row r="1">
      <c r="A1" s="8" t="inlineStr">
        <is>
          <t>Код</t>
        </is>
      </c>
      <c r="B1" s="8" t="inlineStr">
        <is>
          <t>Статья</t>
        </is>
      </c>
      <c r="C1" s="8" t="inlineStr">
        <is>
          <t>Консолидировано, руб.</t>
        </is>
      </c>
    </row>
    <row r="2">
      <c r="A2" t="inlineStr">
        <is>
          <t>1150</t>
        </is>
      </c>
      <c r="B2" t="inlineStr">
        <is>
          <t>Основные средства</t>
        </is>
      </c>
      <c r="C2" t="n">
        <v>54570000</v>
      </c>
    </row>
    <row r="3">
      <c r="A3" t="inlineStr">
        <is>
          <t>1170</t>
        </is>
      </c>
      <c r="B3" t="inlineStr">
        <is>
          <t>Финансовые вложения</t>
        </is>
      </c>
      <c r="C3" t="n">
        <v>0</v>
      </c>
    </row>
    <row r="4">
      <c r="A4" t="inlineStr">
        <is>
          <t>1190</t>
        </is>
      </c>
      <c r="B4" t="inlineStr">
        <is>
          <t>Прочие внеоборотные активы</t>
        </is>
      </c>
      <c r="C4" t="n">
        <v>0</v>
      </c>
    </row>
    <row r="5">
      <c r="A5" t="inlineStr">
        <is>
          <t>1100</t>
        </is>
      </c>
      <c r="B5" t="inlineStr">
        <is>
          <t>Итого по разделу I</t>
        </is>
      </c>
      <c r="C5" t="n">
        <v>54570000</v>
      </c>
    </row>
    <row r="6">
      <c r="A6" t="inlineStr">
        <is>
          <t>1210</t>
        </is>
      </c>
      <c r="B6" t="inlineStr">
        <is>
          <t>Запасы</t>
        </is>
      </c>
      <c r="C6" t="n">
        <v>7850000</v>
      </c>
    </row>
    <row r="7">
      <c r="A7" t="inlineStr">
        <is>
          <t>1230</t>
        </is>
      </c>
      <c r="B7" t="inlineStr">
        <is>
          <t>Дебиторская задолженность</t>
        </is>
      </c>
      <c r="C7" t="n">
        <v>13160000</v>
      </c>
    </row>
    <row r="8">
      <c r="A8" t="inlineStr">
        <is>
          <t>1250</t>
        </is>
      </c>
      <c r="B8" t="inlineStr">
        <is>
          <t>Денежные средства и денежные эквиваленты</t>
        </is>
      </c>
      <c r="C8" t="n">
        <v>23180000</v>
      </c>
    </row>
    <row r="9">
      <c r="A9" t="inlineStr">
        <is>
          <t>1260</t>
        </is>
      </c>
      <c r="B9" t="inlineStr">
        <is>
          <t>Прочие оборотные активы</t>
        </is>
      </c>
      <c r="C9" t="n">
        <v>0</v>
      </c>
    </row>
    <row r="10">
      <c r="A10" t="inlineStr">
        <is>
          <t>1200</t>
        </is>
      </c>
      <c r="B10" t="inlineStr">
        <is>
          <t>Итого по разделу II</t>
        </is>
      </c>
      <c r="C10" t="n">
        <v>44190000</v>
      </c>
    </row>
    <row r="11">
      <c r="A11" t="inlineStr">
        <is>
          <t>1600</t>
        </is>
      </c>
      <c r="B11" t="inlineStr">
        <is>
          <t>БАЛАНС (актив)</t>
        </is>
      </c>
      <c r="C11" t="n">
        <v>98760000</v>
      </c>
    </row>
    <row r="12">
      <c r="A12" t="inlineStr">
        <is>
          <t>1310</t>
        </is>
      </c>
      <c r="B12" t="inlineStr">
        <is>
          <t>Уставный капитал</t>
        </is>
      </c>
      <c r="C12" t="n">
        <v>25000000</v>
      </c>
    </row>
    <row r="13">
      <c r="A13" t="inlineStr">
        <is>
          <t>1370</t>
        </is>
      </c>
      <c r="B13" t="inlineStr">
        <is>
          <t>Нераспределенная прибыль (непокрытый убыток)</t>
        </is>
      </c>
      <c r="C13" t="n">
        <v>30860000</v>
      </c>
    </row>
    <row r="14">
      <c r="A14" t="inlineStr">
        <is>
          <t>1300</t>
        </is>
      </c>
      <c r="B14" t="inlineStr">
        <is>
          <t>Итого по разделу III</t>
        </is>
      </c>
      <c r="C14" t="n">
        <v>55860000</v>
      </c>
    </row>
    <row r="15">
      <c r="A15" t="inlineStr">
        <is>
          <t>1410</t>
        </is>
      </c>
      <c r="B15" t="inlineStr">
        <is>
          <t>Заемные средства (долгосрочные)</t>
        </is>
      </c>
      <c r="C15" t="n">
        <v>35000000</v>
      </c>
    </row>
    <row r="16">
      <c r="A16" t="inlineStr">
        <is>
          <t>1400</t>
        </is>
      </c>
      <c r="B16" t="inlineStr">
        <is>
          <t>Итого по разделу IV</t>
        </is>
      </c>
      <c r="C16" t="n">
        <v>35000000</v>
      </c>
    </row>
    <row r="17">
      <c r="A17" t="inlineStr">
        <is>
          <t>1520</t>
        </is>
      </c>
      <c r="B17" t="inlineStr">
        <is>
          <t>Кредиторская задолженность</t>
        </is>
      </c>
      <c r="C17" t="n">
        <v>7900000</v>
      </c>
    </row>
    <row r="18">
      <c r="A18" t="inlineStr">
        <is>
          <t>1540</t>
        </is>
      </c>
      <c r="B18" t="inlineStr">
        <is>
          <t>Оценочные обязательства</t>
        </is>
      </c>
      <c r="C18" t="n">
        <v>0</v>
      </c>
    </row>
    <row r="19">
      <c r="A19" t="inlineStr">
        <is>
          <t>1500</t>
        </is>
      </c>
      <c r="B19" t="inlineStr">
        <is>
          <t>Итого по разделу V</t>
        </is>
      </c>
      <c r="C19" t="n">
        <v>7900000</v>
      </c>
    </row>
    <row r="20">
      <c r="A20" t="inlineStr">
        <is>
          <t>1700</t>
        </is>
      </c>
      <c r="B20" t="inlineStr">
        <is>
          <t>БАЛАНС (пассив)</t>
        </is>
      </c>
      <c r="C20" t="n">
        <v>98760000</v>
      </c>
    </row>
    <row r="21">
      <c r="A21" t="inlineStr">
        <is>
          <t>2110</t>
        </is>
      </c>
      <c r="B21" t="inlineStr">
        <is>
          <t>Выручка</t>
        </is>
      </c>
      <c r="C21" t="n">
        <v>49780000</v>
      </c>
    </row>
    <row r="22">
      <c r="A22" t="inlineStr">
        <is>
          <t>2120</t>
        </is>
      </c>
      <c r="B22" t="inlineStr">
        <is>
          <t>Себестоимость продаж</t>
        </is>
      </c>
      <c r="C22" t="n">
        <v>38200000</v>
      </c>
    </row>
    <row r="23">
      <c r="A23" t="inlineStr">
        <is>
          <t>2200</t>
        </is>
      </c>
      <c r="B23" t="inlineStr">
        <is>
          <t>Прибыль (убыток) от продаж</t>
        </is>
      </c>
      <c r="C23" t="n">
        <v>11580000</v>
      </c>
    </row>
    <row r="24">
      <c r="A24" t="inlineStr">
        <is>
          <t>2340</t>
        </is>
      </c>
      <c r="B24" t="inlineStr">
        <is>
          <t>Прочие доходы</t>
        </is>
      </c>
      <c r="C24" t="n">
        <v>590000</v>
      </c>
    </row>
    <row r="25">
      <c r="A25" t="inlineStr">
        <is>
          <t>2350</t>
        </is>
      </c>
      <c r="B25" t="inlineStr">
        <is>
          <t>Прочие расходы</t>
        </is>
      </c>
      <c r="C25" t="n">
        <v>1090000</v>
      </c>
    </row>
    <row r="26">
      <c r="A26" t="inlineStr">
        <is>
          <t>2300</t>
        </is>
      </c>
      <c r="B26" t="inlineStr">
        <is>
          <t>Прибыль (убыток) до налогообложения</t>
        </is>
      </c>
      <c r="C26" t="n">
        <v>11080000</v>
      </c>
    </row>
    <row r="27">
      <c r="A27" t="inlineStr">
        <is>
          <t>2410</t>
        </is>
      </c>
      <c r="B27" t="inlineStr">
        <is>
          <t>Налог на прибыль</t>
        </is>
      </c>
      <c r="C27" t="n">
        <v>2220000</v>
      </c>
    </row>
    <row r="28">
      <c r="A28" t="inlineStr">
        <is>
          <t>2400</t>
        </is>
      </c>
      <c r="B28" t="inlineStr">
        <is>
          <t>Чистая прибыль (убыток)</t>
        </is>
      </c>
      <c r="C28" t="n">
        <v>8860000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2026-09-21T18:47:02Z</dcterms:created>
  <dcterms:modified xmlns:dcterms="http://purl.org/dc/terms/" xmlns:xsi="http://www.w3.org/2001/XMLSchema-instance" xsi:type="dcterms:W3CDTF">2026-09-21T18:47:02Z</dcterms:modified>
</cp:coreProperties>
</file>