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Ф1" sheetId="1" state="visible" r:id="rId3"/>
    <sheet name="Ф2" sheetId="2" state="visible" r:id="rId4"/>
    <sheet name="Журнал корректировок" sheetId="3" state="visible" r:id="rId5"/>
    <sheet name="Проверки" sheetId="4" state="visible" r:id="rId6"/>
    <sheet name="Итог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<sst xmlns="http://schemas.openxmlformats.org/spreadsheetml/2006/main" count="173" uniqueCount="97">
  <si>
    <t xml:space="preserve">Группа «Северный порт» — Бухгалтерский баланс (консолидированный), руб.</t>
  </si>
  <si>
    <t xml:space="preserve">Период: 1 квартал 2026 г.</t>
  </si>
  <si>
    <t xml:space="preserve">Код</t>
  </si>
  <si>
    <t xml:space="preserve">Статья</t>
  </si>
  <si>
    <t xml:space="preserve">АО «Северный порт»</t>
  </si>
  <si>
    <t xml:space="preserve">ООО «Порт-Логистика»</t>
  </si>
  <si>
    <t xml:space="preserve">ООО «Порт-Сервис»</t>
  </si>
  <si>
    <t xml:space="preserve">Сумма по группе</t>
  </si>
  <si>
    <t xml:space="preserve">Корректировки</t>
  </si>
  <si>
    <t xml:space="preserve">Элиминации</t>
  </si>
  <si>
    <t xml:space="preserve">Консолидировано</t>
  </si>
  <si>
    <t xml:space="preserve">1150</t>
  </si>
  <si>
    <t xml:space="preserve">Основные средства</t>
  </si>
  <si>
    <t xml:space="preserve">1170</t>
  </si>
  <si>
    <t xml:space="preserve">Финансовые вложения</t>
  </si>
  <si>
    <t xml:space="preserve">1190</t>
  </si>
  <si>
    <t xml:space="preserve">Прочие внеоборотные активы</t>
  </si>
  <si>
    <t xml:space="preserve">1100</t>
  </si>
  <si>
    <t xml:space="preserve">Итого по разделу I</t>
  </si>
  <si>
    <t xml:space="preserve">1210</t>
  </si>
  <si>
    <t xml:space="preserve">Запасы</t>
  </si>
  <si>
    <t xml:space="preserve">1230</t>
  </si>
  <si>
    <t xml:space="preserve">Дебиторская задолженность</t>
  </si>
  <si>
    <t xml:space="preserve">1250</t>
  </si>
  <si>
    <t xml:space="preserve">Денежные средства и денежные эквиваленты</t>
  </si>
  <si>
    <t xml:space="preserve">1260</t>
  </si>
  <si>
    <t xml:space="preserve">Прочие оборотные активы</t>
  </si>
  <si>
    <t xml:space="preserve">1200</t>
  </si>
  <si>
    <t xml:space="preserve">Итого по разделу II</t>
  </si>
  <si>
    <t xml:space="preserve">1600</t>
  </si>
  <si>
    <t xml:space="preserve">БАЛАНС (актив)</t>
  </si>
  <si>
    <t xml:space="preserve">1310</t>
  </si>
  <si>
    <t xml:space="preserve">Уставный капитал</t>
  </si>
  <si>
    <t xml:space="preserve">1370</t>
  </si>
  <si>
    <t xml:space="preserve">Нераспределенная прибыль (непокрытый убыток)</t>
  </si>
  <si>
    <t xml:space="preserve">1300</t>
  </si>
  <si>
    <t xml:space="preserve">Итого по разделу III</t>
  </si>
  <si>
    <t xml:space="preserve">1410</t>
  </si>
  <si>
    <t xml:space="preserve">Заемные средства (долгосрочные)</t>
  </si>
  <si>
    <t xml:space="preserve">1400</t>
  </si>
  <si>
    <t xml:space="preserve">Итого по разделу IV</t>
  </si>
  <si>
    <t xml:space="preserve">1520</t>
  </si>
  <si>
    <t xml:space="preserve">Кредиторская задолженность</t>
  </si>
  <si>
    <t xml:space="preserve">1540</t>
  </si>
  <si>
    <t xml:space="preserve">Оценочные обязательства</t>
  </si>
  <si>
    <t xml:space="preserve">1500</t>
  </si>
  <si>
    <t xml:space="preserve">Итого по разделу V</t>
  </si>
  <si>
    <t xml:space="preserve">1700</t>
  </si>
  <si>
    <t xml:space="preserve">БАЛАНС (пассив)</t>
  </si>
  <si>
    <t xml:space="preserve">Контроль: актив − пассив (должно быть 0)</t>
  </si>
  <si>
    <t xml:space="preserve">Группа «Северный порт» — Отчет о финансовых результатах (консолидированный), руб.</t>
  </si>
  <si>
    <t xml:space="preserve">2110</t>
  </si>
  <si>
    <t xml:space="preserve">Выручка</t>
  </si>
  <si>
    <t xml:space="preserve">2120</t>
  </si>
  <si>
    <t xml:space="preserve">Себестоимость продаж</t>
  </si>
  <si>
    <t xml:space="preserve">2200</t>
  </si>
  <si>
    <t xml:space="preserve">Прибыль (убыток) от продаж</t>
  </si>
  <si>
    <t xml:space="preserve">2340</t>
  </si>
  <si>
    <t xml:space="preserve">Прочие доходы</t>
  </si>
  <si>
    <t xml:space="preserve">2350</t>
  </si>
  <si>
    <t xml:space="preserve">Прочие расходы</t>
  </si>
  <si>
    <t xml:space="preserve">2300</t>
  </si>
  <si>
    <t xml:space="preserve">Прибыль (убыток) до налогообложения</t>
  </si>
  <si>
    <t xml:space="preserve">2410</t>
  </si>
  <si>
    <t xml:space="preserve">Налог на прибыль</t>
  </si>
  <si>
    <t xml:space="preserve">2400</t>
  </si>
  <si>
    <t xml:space="preserve">Чистая прибыль (убыток)</t>
  </si>
  <si>
    <t xml:space="preserve">Контроль: чистая прибыль по Ф2 − прирост нераспределённой прибыли (справочно, заполняется вручную)</t>
  </si>
  <si>
    <t xml:space="preserve">№</t>
  </si>
  <si>
    <t xml:space="preserve">Вид</t>
  </si>
  <si>
    <t xml:space="preserve">Компания / пара</t>
  </si>
  <si>
    <t xml:space="preserve">Содержание</t>
  </si>
  <si>
    <t xml:space="preserve">Сумма, руб.</t>
  </si>
  <si>
    <t xml:space="preserve">Элиминация</t>
  </si>
  <si>
    <t xml:space="preserve">АО «Северный порт» → ООО «Порт-Логистика»</t>
  </si>
  <si>
    <t xml:space="preserve">ДЗ/КЗ 1 450 000; выручка/себестоимость 4 350 000</t>
  </si>
  <si>
    <t xml:space="preserve">Корректировка</t>
  </si>
  <si>
    <t xml:space="preserve">Доначисление по операциям с ООО «Порт-Логистика»: себестоимость +20 000; кредиторская задолженность +20 000; нераспределённая прибыль −20 000</t>
  </si>
  <si>
    <t xml:space="preserve">ООО «Порт-Логистика» → ООО «Порт-Сервис»</t>
  </si>
  <si>
    <t xml:space="preserve">ДЗ/КЗ 380 000; выручка/себестоимость 1 140 000</t>
  </si>
  <si>
    <t xml:space="preserve">ООО «Порт-Сервис» → АО «Северный порт»</t>
  </si>
  <si>
    <t xml:space="preserve">ДЗ/КЗ 210 000; выручка/себестоимость 630 000</t>
  </si>
  <si>
    <t xml:space="preserve">инвестиции ↔ уставный капитал</t>
  </si>
  <si>
    <t xml:space="preserve">1170 у материнской −10 000 000; 1310 у дочерних −10 000 000</t>
  </si>
  <si>
    <t xml:space="preserve">Проверка</t>
  </si>
  <si>
    <t xml:space="preserve">Ожидание</t>
  </si>
  <si>
    <t xml:space="preserve">Факт</t>
  </si>
  <si>
    <t xml:space="preserve">Статус</t>
  </si>
  <si>
    <t xml:space="preserve">Актив = Пассив (консолидировано)</t>
  </si>
  <si>
    <t xml:space="preserve">OK</t>
  </si>
  <si>
    <t xml:space="preserve">1230 конс. = Σ1230 − ВГО ДЗ</t>
  </si>
  <si>
    <t xml:space="preserve">1520 конс. = Σ1520 + корректировки − ВГО КЗ</t>
  </si>
  <si>
    <t xml:space="preserve">2110 конс. = Σ2110 − ВГО выручка</t>
  </si>
  <si>
    <t xml:space="preserve">2400 конс. = Σ2400 − Σ корректировок</t>
  </si>
  <si>
    <t xml:space="preserve">1170 материнской = Σ1310 дочерних</t>
  </si>
  <si>
    <t xml:space="preserve">1370 конс. − Σ1370 = −Σ корректировок</t>
  </si>
  <si>
    <t xml:space="preserve">Консолидировано, руб.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</si>
</sst>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4" t="n">
        <v>34300000</v>
      </c>
      <c r="D5" s="4" t="n">
        <v>14180000</v>
      </c>
      <c r="E5" s="4" t="n">
        <v>6090000</v>
      </c>
      <c r="F5" s="4" t="n">
        <f aca="false">SUM(C5:E5)</f>
        <v>54570000</v>
      </c>
      <c r="G5" s="4"/>
      <c r="H5" s="4"/>
      <c r="I5" s="4" t="n">
        <f aca="false">F5+G5-H5</f>
        <v>54570000</v>
      </c>
    </row>
    <row r="6" customFormat="false" ht="15" hidden="false" customHeight="false" outlineLevel="0" collapsed="false">
      <c r="A6" s="3" t="s">
        <v>13</v>
      </c>
      <c r="B6" s="3" t="s">
        <v>14</v>
      </c>
      <c r="C6" s="4" t="n">
        <v>10000000</v>
      </c>
      <c r="D6" s="4" t="n">
        <v>0</v>
      </c>
      <c r="E6" s="4" t="n">
        <v>0</v>
      </c>
      <c r="F6" s="4" t="n">
        <f aca="false">SUM(C6:E6)</f>
        <v>10000000</v>
      </c>
      <c r="G6" s="4"/>
      <c r="H6" s="4" t="n">
        <v>10000000</v>
      </c>
      <c r="I6" s="4" t="n">
        <f aca="false">F6+G6-H6</f>
        <v>0</v>
      </c>
    </row>
    <row r="7" customFormat="false" ht="15" hidden="false" customHeight="false" outlineLevel="0" collapsed="false">
      <c r="A7" s="3" t="s">
        <v>15</v>
      </c>
      <c r="B7" s="3" t="s">
        <v>16</v>
      </c>
      <c r="C7" s="4" t="n">
        <v>0</v>
      </c>
      <c r="D7" s="4" t="n">
        <v>0</v>
      </c>
      <c r="E7" s="4" t="n">
        <v>0</v>
      </c>
      <c r="F7" s="4" t="n">
        <f aca="false">SUM(C7:E7)</f>
        <v>0</v>
      </c>
      <c r="G7" s="4"/>
      <c r="H7" s="4"/>
      <c r="I7" s="4" t="n">
        <f aca="false">F7+G7-H7</f>
        <v>0</v>
      </c>
    </row>
    <row r="8" customFormat="false" ht="15" hidden="false" customHeight="false" outlineLevel="0" collapsed="false">
      <c r="A8" s="5" t="s">
        <v>17</v>
      </c>
      <c r="B8" s="5" t="s">
        <v>18</v>
      </c>
      <c r="C8" s="6" t="n">
        <f aca="false">C5+C6+C7</f>
        <v>44300000</v>
      </c>
      <c r="D8" s="6" t="n">
        <f aca="false">D5+D6+D7</f>
        <v>14180000</v>
      </c>
      <c r="E8" s="6" t="n">
        <f aca="false">E5+E6+E7</f>
        <v>6090000</v>
      </c>
      <c r="F8" s="6" t="n">
        <f aca="false">F5+F6+F7</f>
        <v>64570000</v>
      </c>
      <c r="G8" s="6" t="n">
        <f aca="false">G5+G6+G7</f>
        <v>0</v>
      </c>
      <c r="H8" s="6" t="n">
        <f aca="false">H5+H6+H7</f>
        <v>10000000</v>
      </c>
      <c r="I8" s="6" t="n">
        <f aca="false">I5+I6+I7</f>
        <v>54570000</v>
      </c>
    </row>
    <row r="9" customFormat="false" ht="15" hidden="false" customHeight="false" outlineLevel="0" collapsed="false">
      <c r="A9" s="3" t="s">
        <v>19</v>
      </c>
      <c r="B9" s="3" t="s">
        <v>20</v>
      </c>
      <c r="C9" s="4" t="n">
        <v>3450000</v>
      </c>
      <c r="D9" s="4" t="n">
        <v>3650000</v>
      </c>
      <c r="E9" s="4" t="n">
        <v>750000</v>
      </c>
      <c r="F9" s="4" t="n">
        <f aca="false">SUM(C9:E9)</f>
        <v>7850000</v>
      </c>
      <c r="G9" s="4"/>
      <c r="H9" s="4"/>
      <c r="I9" s="4" t="n">
        <f aca="false">F9+G9-H9</f>
        <v>7850000</v>
      </c>
    </row>
    <row r="10" customFormat="false" ht="15" hidden="false" customHeight="false" outlineLevel="0" collapsed="false">
      <c r="A10" s="3" t="s">
        <v>21</v>
      </c>
      <c r="B10" s="3" t="s">
        <v>22</v>
      </c>
      <c r="C10" s="4" t="n">
        <v>7400000</v>
      </c>
      <c r="D10" s="4" t="n">
        <v>5500000</v>
      </c>
      <c r="E10" s="4" t="n">
        <v>2300000</v>
      </c>
      <c r="F10" s="4" t="n">
        <f aca="false">SUM(C10:E10)</f>
        <v>15200000</v>
      </c>
      <c r="G10" s="4"/>
      <c r="H10" s="4" t="n">
        <v>2040000</v>
      </c>
      <c r="I10" s="4" t="n">
        <f aca="false">F10+G10-H10</f>
        <v>13160000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4" t="n">
        <v>14570000</v>
      </c>
      <c r="D11" s="4" t="n">
        <v>5430000</v>
      </c>
      <c r="E11" s="4" t="n">
        <v>3180000</v>
      </c>
      <c r="F11" s="4" t="n">
        <f aca="false">SUM(C11:E11)</f>
        <v>23180000</v>
      </c>
      <c r="G11" s="4"/>
      <c r="H11" s="4"/>
      <c r="I11" s="4" t="n">
        <f aca="false">F11+G11-H11</f>
        <v>23180000</v>
      </c>
    </row>
    <row r="12" customFormat="false" ht="15" hidden="false" customHeight="false" outlineLevel="0" collapsed="false">
      <c r="A12" s="3" t="s">
        <v>25</v>
      </c>
      <c r="B12" s="3" t="s">
        <v>26</v>
      </c>
      <c r="C12" s="4" t="n">
        <v>0</v>
      </c>
      <c r="D12" s="4" t="n">
        <v>0</v>
      </c>
      <c r="E12" s="4" t="n">
        <v>0</v>
      </c>
      <c r="F12" s="4" t="n">
        <f aca="false">SUM(C12:E12)</f>
        <v>0</v>
      </c>
      <c r="G12" s="4"/>
      <c r="H12" s="4"/>
      <c r="I12" s="4" t="n">
        <f aca="false">F12+G12-H12</f>
        <v>0</v>
      </c>
    </row>
    <row r="13" customFormat="false" ht="15" hidden="false" customHeight="false" outlineLevel="0" collapsed="false">
      <c r="A13" s="5" t="s">
        <v>27</v>
      </c>
      <c r="B13" s="5" t="s">
        <v>28</v>
      </c>
      <c r="C13" s="6" t="n">
        <f aca="false">C9+C10+C11+C12</f>
        <v>25420000</v>
      </c>
      <c r="D13" s="6" t="n">
        <f aca="false">D9+D10+D11+D12</f>
        <v>14580000</v>
      </c>
      <c r="E13" s="6" t="n">
        <f aca="false">E9+E10+E11+E12</f>
        <v>6230000</v>
      </c>
      <c r="F13" s="6" t="n">
        <f aca="false">F9+F10+F11+F12</f>
        <v>46230000</v>
      </c>
      <c r="G13" s="6" t="n">
        <f aca="false">G9+G10+G11+G12</f>
        <v>0</v>
      </c>
      <c r="H13" s="6" t="n">
        <f aca="false">H9+H10+H11+H12</f>
        <v>2040000</v>
      </c>
      <c r="I13" s="6" t="n">
        <f aca="false">I9+I10+I11+I12</f>
        <v>44190000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6" t="n">
        <f aca="false">C8+C13</f>
        <v>69720000</v>
      </c>
      <c r="D14" s="6" t="n">
        <f aca="false">D8+D13</f>
        <v>28760000</v>
      </c>
      <c r="E14" s="6" t="n">
        <f aca="false">E8+E13</f>
        <v>12320000</v>
      </c>
      <c r="F14" s="6" t="n">
        <f aca="false">F8+F13</f>
        <v>110800000</v>
      </c>
      <c r="G14" s="6" t="n">
        <f aca="false">G8+G13</f>
        <v>0</v>
      </c>
      <c r="H14" s="6" t="n">
        <f aca="false">H8+H13</f>
        <v>12040000</v>
      </c>
      <c r="I14" s="6" t="n">
        <f aca="false">I8+I13</f>
        <v>98760000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4" t="n">
        <v>25000000</v>
      </c>
      <c r="D15" s="4" t="n">
        <v>6000000</v>
      </c>
      <c r="E15" s="4" t="n">
        <v>4000000</v>
      </c>
      <c r="F15" s="4" t="n">
        <f aca="false">SUM(C15:E15)</f>
        <v>35000000</v>
      </c>
      <c r="G15" s="4"/>
      <c r="H15" s="4" t="n">
        <v>10000000</v>
      </c>
      <c r="I15" s="4" t="n">
        <f aca="false">F15+G15-H15</f>
        <v>25000000</v>
      </c>
    </row>
    <row r="16" customFormat="false" ht="15" hidden="false" customHeight="false" outlineLevel="0" collapsed="false">
      <c r="A16" s="3" t="s">
        <v>33</v>
      </c>
      <c r="B16" s="3" t="s">
        <v>34</v>
      </c>
      <c r="C16" s="4" t="n">
        <v>20456000</v>
      </c>
      <c r="D16" s="4" t="n">
        <v>6608000</v>
      </c>
      <c r="E16" s="4" t="n">
        <v>3816000</v>
      </c>
      <c r="F16" s="4" t="n">
        <f aca="false">SUM(C16:E16)</f>
        <v>30880000</v>
      </c>
      <c r="G16" s="4" t="n">
        <v>-20000</v>
      </c>
      <c r="H16" s="4"/>
      <c r="I16" s="4" t="n">
        <f aca="false">F16+G16-H16</f>
        <v>30860000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6" t="n">
        <f aca="false">C15+C16</f>
        <v>45456000</v>
      </c>
      <c r="D17" s="6" t="n">
        <f aca="false">D15+D16</f>
        <v>12608000</v>
      </c>
      <c r="E17" s="6" t="n">
        <f aca="false">E15+E16</f>
        <v>7816000</v>
      </c>
      <c r="F17" s="6" t="n">
        <f aca="false">F15+F16</f>
        <v>65880000</v>
      </c>
      <c r="G17" s="6" t="n">
        <f aca="false">G15+G16</f>
        <v>-20000</v>
      </c>
      <c r="H17" s="6" t="n">
        <f aca="false">H15+H16</f>
        <v>10000000</v>
      </c>
      <c r="I17" s="6" t="n">
        <f aca="false">I15+I16</f>
        <v>55860000</v>
      </c>
    </row>
    <row r="18" customFormat="false" ht="15" hidden="false" customHeight="false" outlineLevel="0" collapsed="false">
      <c r="A18" s="3" t="s">
        <v>37</v>
      </c>
      <c r="B18" s="3" t="s">
        <v>38</v>
      </c>
      <c r="C18" s="4" t="n">
        <v>20000000</v>
      </c>
      <c r="D18" s="4" t="n">
        <v>12000000</v>
      </c>
      <c r="E18" s="4" t="n">
        <v>3000000</v>
      </c>
      <c r="F18" s="4" t="n">
        <f aca="false">SUM(C18:E18)</f>
        <v>35000000</v>
      </c>
      <c r="G18" s="4"/>
      <c r="H18" s="4"/>
      <c r="I18" s="4" t="n">
        <f aca="false">F18+G18-H18</f>
        <v>35000000</v>
      </c>
    </row>
    <row r="19" customFormat="false" ht="15" hidden="false" customHeight="false" outlineLevel="0" collapsed="false">
      <c r="A19" s="5" t="s">
        <v>39</v>
      </c>
      <c r="B19" s="5" t="s">
        <v>40</v>
      </c>
      <c r="C19" s="6" t="n">
        <f aca="false">C18</f>
        <v>20000000</v>
      </c>
      <c r="D19" s="6" t="n">
        <f aca="false">D18</f>
        <v>12000000</v>
      </c>
      <c r="E19" s="6" t="n">
        <f aca="false">E18</f>
        <v>3000000</v>
      </c>
      <c r="F19" s="6" t="n">
        <f aca="false">F18</f>
        <v>35000000</v>
      </c>
      <c r="G19" s="6" t="n">
        <f aca="false">G18</f>
        <v>0</v>
      </c>
      <c r="H19" s="6" t="n">
        <f aca="false">H18</f>
        <v>0</v>
      </c>
      <c r="I19" s="6" t="n">
        <f aca="false">I18</f>
        <v>35000000</v>
      </c>
    </row>
    <row r="20" customFormat="false" ht="15" hidden="false" customHeight="false" outlineLevel="0" collapsed="false">
      <c r="A20" s="3" t="s">
        <v>41</v>
      </c>
      <c r="B20" s="3" t="s">
        <v>42</v>
      </c>
      <c r="C20" s="4" t="n">
        <v>4264000</v>
      </c>
      <c r="D20" s="4" t="n">
        <v>4152000</v>
      </c>
      <c r="E20" s="4" t="n">
        <v>1504000</v>
      </c>
      <c r="F20" s="4" t="n">
        <f aca="false">SUM(C20:E20)</f>
        <v>9920000</v>
      </c>
      <c r="G20" s="4" t="n">
        <v>20000</v>
      </c>
      <c r="H20" s="4" t="n">
        <v>2040000</v>
      </c>
      <c r="I20" s="4" t="n">
        <f aca="false">F20+G20-H20</f>
        <v>7900000</v>
      </c>
    </row>
    <row r="21" customFormat="false" ht="15" hidden="false" customHeight="false" outlineLevel="0" collapsed="false">
      <c r="A21" s="3" t="s">
        <v>43</v>
      </c>
      <c r="B21" s="3" t="s">
        <v>44</v>
      </c>
      <c r="C21" s="4" t="n">
        <v>0</v>
      </c>
      <c r="D21" s="4" t="n">
        <v>0</v>
      </c>
      <c r="E21" s="4" t="n">
        <v>0</v>
      </c>
      <c r="F21" s="4" t="n">
        <f aca="false">SUM(C21:E21)</f>
        <v>0</v>
      </c>
      <c r="G21" s="4"/>
      <c r="H21" s="4"/>
      <c r="I21" s="4" t="n">
        <f aca="false">F21+G21-H21</f>
        <v>0</v>
      </c>
    </row>
    <row r="22" customFormat="false" ht="15" hidden="false" customHeight="false" outlineLevel="0" collapsed="false">
      <c r="A22" s="5" t="s">
        <v>45</v>
      </c>
      <c r="B22" s="5" t="s">
        <v>46</v>
      </c>
      <c r="C22" s="6" t="n">
        <f aca="false">C20+C21</f>
        <v>4264000</v>
      </c>
      <c r="D22" s="6" t="n">
        <f aca="false">D20+D21</f>
        <v>4152000</v>
      </c>
      <c r="E22" s="6" t="n">
        <f aca="false">E20+E21</f>
        <v>1504000</v>
      </c>
      <c r="F22" s="6" t="n">
        <f aca="false">F20+F21</f>
        <v>9920000</v>
      </c>
      <c r="G22" s="6" t="n">
        <f aca="false">G20+G21</f>
        <v>20000</v>
      </c>
      <c r="H22" s="6" t="n">
        <f aca="false">H20+H21</f>
        <v>2040000</v>
      </c>
      <c r="I22" s="6" t="n">
        <f aca="false">I20+I21</f>
        <v>7900000</v>
      </c>
    </row>
    <row r="23" customFormat="false" ht="15" hidden="false" customHeight="false" outlineLevel="0" collapsed="false">
      <c r="A23" s="5" t="s">
        <v>47</v>
      </c>
      <c r="B23" s="5" t="s">
        <v>48</v>
      </c>
      <c r="C23" s="6" t="n">
        <f aca="false">C17+C19+C22</f>
        <v>69720000</v>
      </c>
      <c r="D23" s="6" t="n">
        <f aca="false">D17+D19+D22</f>
        <v>28760000</v>
      </c>
      <c r="E23" s="6" t="n">
        <f aca="false">E17+E19+E22</f>
        <v>12320000</v>
      </c>
      <c r="F23" s="6" t="n">
        <f aca="false">F17+F19+F22</f>
        <v>110800000</v>
      </c>
      <c r="G23" s="6" t="n">
        <f aca="false">G17+G19+G22</f>
        <v>0</v>
      </c>
      <c r="H23" s="6" t="n">
        <f aca="false">H17+H19+H22</f>
        <v>12040000</v>
      </c>
      <c r="I23" s="6" t="n">
        <f aca="false">I17+I19+I22</f>
        <v>98760000</v>
      </c>
    </row>
    <row r="25" customFormat="false" ht="15" hidden="false" customHeight="false" outlineLevel="0" collapsed="false">
      <c r="B25" s="0" t="s">
        <v>49</v>
      </c>
      <c r="C25" s="7" t="n">
        <f aca="false">C14-C23</f>
        <v>0</v>
      </c>
      <c r="D25" s="7" t="n">
        <f aca="false">D14-D23</f>
        <v>0</v>
      </c>
      <c r="E25" s="7" t="n">
        <f aca="false">E14-E23</f>
        <v>0</v>
      </c>
      <c r="F25" s="7" t="n">
        <f aca="false">F14-F23</f>
        <v>0</v>
      </c>
      <c r="G25" s="7" t="n">
        <f aca="false">G14-G23</f>
        <v>0</v>
      </c>
      <c r="H25" s="7" t="n">
        <f aca="false">H14-H23</f>
        <v>0</v>
      </c>
      <c r="I25" s="7" t="n">
        <f aca="false">I14-I23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9" min="3" style="0" width="19"/>
  </cols>
  <sheetData>
    <row r="1" customFormat="false" ht="15" hidden="false" customHeight="false" outlineLevel="0" collapsed="false">
      <c r="A1" s="1" t="s">
        <v>50</v>
      </c>
    </row>
    <row r="2" customFormat="false" ht="15" hidden="false" customHeight="false" outlineLevel="0" collapsed="false">
      <c r="A2" s="0" t="s">
        <v>1</v>
      </c>
    </row>
    <row r="4" customFormat="false" ht="28.3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3" t="s">
        <v>51</v>
      </c>
      <c r="B5" s="3" t="s">
        <v>52</v>
      </c>
      <c r="C5" s="4" t="n">
        <v>31200000</v>
      </c>
      <c r="D5" s="4" t="n">
        <v>17800000</v>
      </c>
      <c r="E5" s="4" t="n">
        <v>6900000</v>
      </c>
      <c r="F5" s="4" t="n">
        <f aca="false">SUM(C5:E5)</f>
        <v>55900000</v>
      </c>
      <c r="G5" s="4"/>
      <c r="H5" s="4" t="n">
        <v>6120000</v>
      </c>
      <c r="I5" s="4" t="n">
        <f aca="false">F5+G5-H5</f>
        <v>49780000</v>
      </c>
    </row>
    <row r="6" customFormat="false" ht="15" hidden="false" customHeight="false" outlineLevel="0" collapsed="false">
      <c r="A6" s="3" t="s">
        <v>53</v>
      </c>
      <c r="B6" s="3" t="s">
        <v>54</v>
      </c>
      <c r="C6" s="4" t="n">
        <v>24100000</v>
      </c>
      <c r="D6" s="4" t="n">
        <v>14900000</v>
      </c>
      <c r="E6" s="4" t="n">
        <v>5300000</v>
      </c>
      <c r="F6" s="4" t="n">
        <f aca="false">SUM(C6:E6)</f>
        <v>44300000</v>
      </c>
      <c r="G6" s="4" t="n">
        <v>20000</v>
      </c>
      <c r="H6" s="4" t="n">
        <v>6120000</v>
      </c>
      <c r="I6" s="4" t="n">
        <f aca="false">F6+G6-H6</f>
        <v>38200000</v>
      </c>
    </row>
    <row r="7" customFormat="false" ht="15" hidden="false" customHeight="false" outlineLevel="0" collapsed="false">
      <c r="A7" s="5" t="s">
        <v>55</v>
      </c>
      <c r="B7" s="5" t="s">
        <v>56</v>
      </c>
      <c r="C7" s="6" t="n">
        <f aca="false">C5-C6</f>
        <v>7100000</v>
      </c>
      <c r="D7" s="6" t="n">
        <f aca="false">D5-D6</f>
        <v>2900000</v>
      </c>
      <c r="E7" s="6" t="n">
        <f aca="false">E5-E6</f>
        <v>1600000</v>
      </c>
      <c r="F7" s="6" t="n">
        <f aca="false">F5-F6</f>
        <v>11600000</v>
      </c>
      <c r="G7" s="6" t="n">
        <f aca="false">G5-G6</f>
        <v>-20000</v>
      </c>
      <c r="H7" s="6" t="n">
        <f aca="false">H5-H6</f>
        <v>0</v>
      </c>
      <c r="I7" s="6" t="n">
        <f aca="false">I5-I6</f>
        <v>11580000</v>
      </c>
    </row>
    <row r="8" customFormat="false" ht="15" hidden="false" customHeight="false" outlineLevel="0" collapsed="false">
      <c r="A8" s="3" t="s">
        <v>57</v>
      </c>
      <c r="B8" s="3" t="s">
        <v>58</v>
      </c>
      <c r="C8" s="4" t="n">
        <v>410000</v>
      </c>
      <c r="D8" s="4" t="n">
        <v>120000</v>
      </c>
      <c r="E8" s="4" t="n">
        <v>60000</v>
      </c>
      <c r="F8" s="4" t="n">
        <f aca="false">SUM(C8:E8)</f>
        <v>590000</v>
      </c>
      <c r="G8" s="4"/>
      <c r="H8" s="4"/>
      <c r="I8" s="4" t="n">
        <f aca="false">F8+G8-H8</f>
        <v>590000</v>
      </c>
    </row>
    <row r="9" customFormat="false" ht="15" hidden="false" customHeight="false" outlineLevel="0" collapsed="false">
      <c r="A9" s="3" t="s">
        <v>59</v>
      </c>
      <c r="B9" s="3" t="s">
        <v>60</v>
      </c>
      <c r="C9" s="4" t="n">
        <v>690000</v>
      </c>
      <c r="D9" s="4" t="n">
        <v>260000</v>
      </c>
      <c r="E9" s="4" t="n">
        <v>140000</v>
      </c>
      <c r="F9" s="4" t="n">
        <f aca="false">SUM(C9:E9)</f>
        <v>1090000</v>
      </c>
      <c r="G9" s="4"/>
      <c r="H9" s="4"/>
      <c r="I9" s="4" t="n">
        <f aca="false">F9+G9-H9</f>
        <v>1090000</v>
      </c>
    </row>
    <row r="10" customFormat="false" ht="15" hidden="false" customHeight="false" outlineLevel="0" collapsed="false">
      <c r="A10" s="5" t="s">
        <v>61</v>
      </c>
      <c r="B10" s="5" t="s">
        <v>62</v>
      </c>
      <c r="C10" s="6" t="n">
        <f aca="false">C7+C8-C9</f>
        <v>6820000</v>
      </c>
      <c r="D10" s="6" t="n">
        <f aca="false">D7+D8-D9</f>
        <v>2760000</v>
      </c>
      <c r="E10" s="6" t="n">
        <f aca="false">E7+E8-E9</f>
        <v>1520000</v>
      </c>
      <c r="F10" s="6" t="n">
        <f aca="false">F7+F8-F9</f>
        <v>11100000</v>
      </c>
      <c r="G10" s="6" t="n">
        <f aca="false">G7+G8-G9</f>
        <v>-20000</v>
      </c>
      <c r="H10" s="6" t="n">
        <f aca="false">H7+H8-H9</f>
        <v>0</v>
      </c>
      <c r="I10" s="6" t="n">
        <f aca="false">I7+I8-I9</f>
        <v>11080000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4" t="n">
        <v>1364000</v>
      </c>
      <c r="D11" s="4" t="n">
        <v>552000</v>
      </c>
      <c r="E11" s="4" t="n">
        <v>304000</v>
      </c>
      <c r="F11" s="4" t="n">
        <f aca="false">SUM(C11:E11)</f>
        <v>2220000</v>
      </c>
      <c r="G11" s="4"/>
      <c r="H11" s="4"/>
      <c r="I11" s="4" t="n">
        <f aca="false">F11+G11-H11</f>
        <v>2220000</v>
      </c>
    </row>
    <row r="12" customFormat="false" ht="15" hidden="false" customHeight="false" outlineLevel="0" collapsed="false">
      <c r="A12" s="5" t="s">
        <v>65</v>
      </c>
      <c r="B12" s="5" t="s">
        <v>66</v>
      </c>
      <c r="C12" s="6" t="n">
        <f aca="false">C10-C11</f>
        <v>5456000</v>
      </c>
      <c r="D12" s="6" t="n">
        <f aca="false">D10-D11</f>
        <v>2208000</v>
      </c>
      <c r="E12" s="6" t="n">
        <f aca="false">E10-E11</f>
        <v>1216000</v>
      </c>
      <c r="F12" s="6" t="n">
        <f aca="false">F10-F11</f>
        <v>8880000</v>
      </c>
      <c r="G12" s="6" t="n">
        <f aca="false">G10-G11</f>
        <v>-20000</v>
      </c>
      <c r="H12" s="6" t="n">
        <f aca="false">H10-H11</f>
        <v>0</v>
      </c>
      <c r="I12" s="6" t="n">
        <f aca="false">I10-I11</f>
        <v>8860000</v>
      </c>
    </row>
    <row r="14" customFormat="false" ht="15" hidden="false" customHeight="false" outlineLevel="0" collapsed="false">
      <c r="B14" s="0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1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8" t="s">
        <v>68</v>
      </c>
      <c r="B1" s="8" t="s">
        <v>69</v>
      </c>
      <c r="C1" s="8" t="s">
        <v>70</v>
      </c>
      <c r="D1" s="8" t="s">
        <v>71</v>
      </c>
      <c r="E1" s="8" t="s">
        <v>72</v>
      </c>
    </row>
    <row r="2" customFormat="false" ht="15" hidden="false" customHeight="false" outlineLevel="0" collapsed="false">
      <c r="A2" s="0" t="n">
        <v>1</v>
      </c>
      <c r="B2" s="0" t="s">
        <v>73</v>
      </c>
      <c r="C2" s="0" t="s">
        <v>74</v>
      </c>
      <c r="D2" s="0" t="s">
        <v>75</v>
      </c>
      <c r="E2" s="0" t="n">
        <v>1450000</v>
      </c>
    </row>
    <row r="3" customFormat="false" ht="15" hidden="false" customHeight="false" outlineLevel="0" collapsed="false">
      <c r="A3" s="0" t="n">
        <v>2</v>
      </c>
      <c r="B3" s="0" t="s">
        <v>76</v>
      </c>
      <c r="C3" s="0" t="s">
        <v>6</v>
      </c>
      <c r="D3" s="0" t="s">
        <v>77</v>
      </c>
      <c r="E3" s="0" t="n">
        <v>20000</v>
      </c>
    </row>
    <row r="4" customFormat="false" ht="15" hidden="false" customHeight="false" outlineLevel="0" collapsed="false">
      <c r="A4" s="0" t="n">
        <v>3</v>
      </c>
      <c r="B4" s="0" t="s">
        <v>73</v>
      </c>
      <c r="C4" s="0" t="s">
        <v>78</v>
      </c>
      <c r="D4" s="0" t="s">
        <v>79</v>
      </c>
      <c r="E4" s="0" t="n">
        <v>380000</v>
      </c>
    </row>
    <row r="5" customFormat="false" ht="15" hidden="false" customHeight="false" outlineLevel="0" collapsed="false">
      <c r="A5" s="0" t="n">
        <v>4</v>
      </c>
      <c r="B5" s="0" t="s">
        <v>73</v>
      </c>
      <c r="C5" s="0" t="s">
        <v>80</v>
      </c>
      <c r="D5" s="0" t="s">
        <v>81</v>
      </c>
      <c r="E5" s="0" t="n">
        <v>210000</v>
      </c>
    </row>
    <row r="6" customFormat="false" ht="15" hidden="false" customHeight="false" outlineLevel="0" collapsed="false">
      <c r="A6" s="0" t="n">
        <v>5</v>
      </c>
      <c r="B6" s="0" t="s">
        <v>73</v>
      </c>
      <c r="C6" s="0" t="s">
        <v>82</v>
      </c>
      <c r="D6" s="0" t="s">
        <v>83</v>
      </c>
      <c r="E6" s="0" t="n">
        <v>10000000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8" t="s">
        <v>84</v>
      </c>
      <c r="B1" s="8" t="s">
        <v>85</v>
      </c>
      <c r="C1" s="8" t="s">
        <v>86</v>
      </c>
      <c r="D1" s="8" t="s">
        <v>87</v>
      </c>
    </row>
    <row r="2" customFormat="false" ht="15" hidden="false" customHeight="false" outlineLevel="0" collapsed="false">
      <c r="A2" s="0" t="s">
        <v>88</v>
      </c>
      <c r="B2" s="0" t="n">
        <v>98760000</v>
      </c>
      <c r="C2" s="0" t="n">
        <v>98760000</v>
      </c>
      <c r="D2" s="0" t="s">
        <v>89</v>
      </c>
    </row>
    <row r="3" customFormat="false" ht="15" hidden="false" customHeight="false" outlineLevel="0" collapsed="false">
      <c r="A3" s="0" t="s">
        <v>90</v>
      </c>
      <c r="B3" s="0" t="n">
        <v>13160000</v>
      </c>
      <c r="C3" s="0" t="n">
        <v>13160000</v>
      </c>
      <c r="D3" s="0" t="s">
        <v>89</v>
      </c>
    </row>
    <row r="4" customFormat="false" ht="15" hidden="false" customHeight="false" outlineLevel="0" collapsed="false">
      <c r="A4" s="0" t="s">
        <v>91</v>
      </c>
      <c r="B4" s="0" t="n">
        <v>7900000</v>
      </c>
      <c r="C4" s="0" t="n">
        <v>7900000</v>
      </c>
      <c r="D4" s="0" t="s">
        <v>89</v>
      </c>
    </row>
    <row r="5" customFormat="false" ht="15" hidden="false" customHeight="false" outlineLevel="0" collapsed="false">
      <c r="A5" s="0" t="s">
        <v>92</v>
      </c>
      <c r="B5" s="0" t="n">
        <v>49780000</v>
      </c>
      <c r="C5" s="0" t="n">
        <v>49780000</v>
      </c>
      <c r="D5" s="0" t="s">
        <v>89</v>
      </c>
    </row>
    <row r="6" customFormat="false" ht="15" hidden="false" customHeight="false" outlineLevel="0" collapsed="false">
      <c r="A6" s="0" t="s">
        <v>93</v>
      </c>
      <c r="B6" s="0" t="n">
        <v>8860000</v>
      </c>
      <c r="C6" s="0" t="n">
        <v>8860000</v>
      </c>
      <c r="D6" s="0" t="s">
        <v>89</v>
      </c>
    </row>
    <row r="7" customFormat="false" ht="15" hidden="false" customHeight="false" outlineLevel="0" collapsed="false">
      <c r="A7" s="0" t="s">
        <v>94</v>
      </c>
      <c r="B7" s="0" t="n">
        <v>10000000</v>
      </c>
      <c r="C7" s="0" t="n">
        <v>10000000</v>
      </c>
      <c r="D7" s="0" t="s">
        <v>89</v>
      </c>
    </row>
    <row r="8" customFormat="false" ht="15" hidden="false" customHeight="false" outlineLevel="0" collapsed="false">
      <c r="A8" s="0" t="s">
        <v>95</v>
      </c>
      <c r="B8" s="0" t="n">
        <v>-20000</v>
      </c>
      <c r="C8" s="0" t="n">
        <v>-20000</v>
      </c>
      <c r="D8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8" t="s">
        <v>2</v>
      </c>
      <c r="B1" s="8" t="s">
        <v>3</v>
      </c>
      <c r="C1" s="8" t="s">
        <v>96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54570000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0</v>
      </c>
    </row>
    <row r="4" customFormat="false" ht="15" hidden="false" customHeight="false" outlineLevel="0" collapsed="false">
      <c r="A4" s="0" t="s">
        <v>15</v>
      </c>
      <c r="B4" s="0" t="s">
        <v>16</v>
      </c>
      <c r="C4" s="0" t="n">
        <v>0</v>
      </c>
    </row>
    <row r="5" customFormat="false" ht="15" hidden="false" customHeight="false" outlineLevel="0" collapsed="false">
      <c r="A5" s="0" t="s">
        <v>17</v>
      </c>
      <c r="B5" s="0" t="s">
        <v>18</v>
      </c>
      <c r="C5" s="0" t="n">
        <v>54570000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n">
        <v>7850000</v>
      </c>
    </row>
    <row r="7" customFormat="false" ht="15" hidden="false" customHeight="false" outlineLevel="0" collapsed="false">
      <c r="A7" s="0" t="s">
        <v>21</v>
      </c>
      <c r="B7" s="0" t="s">
        <v>22</v>
      </c>
      <c r="C7" s="0" t="n">
        <v>13160000</v>
      </c>
    </row>
    <row r="8" customFormat="false" ht="15" hidden="false" customHeight="false" outlineLevel="0" collapsed="false">
      <c r="A8" s="0" t="s">
        <v>23</v>
      </c>
      <c r="B8" s="0" t="s">
        <v>24</v>
      </c>
      <c r="C8" s="0" t="n">
        <v>23180000</v>
      </c>
    </row>
    <row r="9" customFormat="false" ht="15" hidden="false" customHeight="false" outlineLevel="0" collapsed="false">
      <c r="A9" s="0" t="s">
        <v>25</v>
      </c>
      <c r="B9" s="0" t="s">
        <v>26</v>
      </c>
      <c r="C9" s="0" t="n">
        <v>0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0" t="n">
        <v>44190000</v>
      </c>
    </row>
    <row r="11" customFormat="false" ht="15" hidden="false" customHeight="false" outlineLevel="0" collapsed="false">
      <c r="A11" s="0" t="s">
        <v>29</v>
      </c>
      <c r="B11" s="0" t="s">
        <v>30</v>
      </c>
      <c r="C11" s="0" t="n">
        <v>98760000</v>
      </c>
    </row>
    <row r="12" customFormat="false" ht="15" hidden="false" customHeight="false" outlineLevel="0" collapsed="false">
      <c r="A12" s="0" t="s">
        <v>31</v>
      </c>
      <c r="B12" s="0" t="s">
        <v>32</v>
      </c>
      <c r="C12" s="0" t="n">
        <v>25000000</v>
      </c>
    </row>
    <row r="13" customFormat="false" ht="15" hidden="false" customHeight="false" outlineLevel="0" collapsed="false">
      <c r="A13" s="0" t="s">
        <v>33</v>
      </c>
      <c r="B13" s="0" t="s">
        <v>34</v>
      </c>
      <c r="C13" s="0" t="n">
        <v>30860000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n">
        <v>55860000</v>
      </c>
    </row>
    <row r="15" customFormat="false" ht="15" hidden="false" customHeight="false" outlineLevel="0" collapsed="false">
      <c r="A15" s="0" t="s">
        <v>37</v>
      </c>
      <c r="B15" s="0" t="s">
        <v>38</v>
      </c>
      <c r="C15" s="0" t="n">
        <v>35000000</v>
      </c>
    </row>
    <row r="16" customFormat="false" ht="15" hidden="false" customHeight="false" outlineLevel="0" collapsed="false">
      <c r="A16" s="0" t="s">
        <v>39</v>
      </c>
      <c r="B16" s="0" t="s">
        <v>40</v>
      </c>
      <c r="C16" s="0" t="n">
        <v>35000000</v>
      </c>
    </row>
    <row r="17" customFormat="false" ht="15" hidden="false" customHeight="false" outlineLevel="0" collapsed="false">
      <c r="A17" s="0" t="s">
        <v>41</v>
      </c>
      <c r="B17" s="0" t="s">
        <v>42</v>
      </c>
      <c r="C17" s="0" t="n">
        <v>7900000</v>
      </c>
    </row>
    <row r="18" customFormat="false" ht="15" hidden="false" customHeight="false" outlineLevel="0" collapsed="false">
      <c r="A18" s="0" t="s">
        <v>43</v>
      </c>
      <c r="B18" s="0" t="s">
        <v>44</v>
      </c>
      <c r="C18" s="0" t="n">
        <v>0</v>
      </c>
    </row>
    <row r="19" customFormat="false" ht="15" hidden="false" customHeight="false" outlineLevel="0" collapsed="false">
      <c r="A19" s="0" t="s">
        <v>45</v>
      </c>
      <c r="B19" s="0" t="s">
        <v>46</v>
      </c>
      <c r="C19" s="0" t="n">
        <v>7900000</v>
      </c>
    </row>
    <row r="20" customFormat="false" ht="15" hidden="false" customHeight="false" outlineLevel="0" collapsed="false">
      <c r="A20" s="0" t="s">
        <v>47</v>
      </c>
      <c r="B20" s="0" t="s">
        <v>48</v>
      </c>
      <c r="C20" s="0" t="n">
        <v>98760000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0" t="n">
        <v>49780000</v>
      </c>
    </row>
    <row r="22" customFormat="false" ht="15" hidden="false" customHeight="false" outlineLevel="0" collapsed="false">
      <c r="A22" s="0" t="s">
        <v>53</v>
      </c>
      <c r="B22" s="0" t="s">
        <v>54</v>
      </c>
      <c r="C22" s="0" t="n">
        <v>38200000</v>
      </c>
    </row>
    <row r="23" customFormat="false" ht="15" hidden="false" customHeight="false" outlineLevel="0" collapsed="false">
      <c r="A23" s="0" t="s">
        <v>55</v>
      </c>
      <c r="B23" s="0" t="s">
        <v>56</v>
      </c>
      <c r="C23" s="0" t="n">
        <v>11580000</v>
      </c>
    </row>
    <row r="24" customFormat="false" ht="15" hidden="false" customHeight="false" outlineLevel="0" collapsed="false">
      <c r="A24" s="0" t="s">
        <v>57</v>
      </c>
      <c r="B24" s="0" t="s">
        <v>58</v>
      </c>
      <c r="C24" s="0" t="n">
        <v>590000</v>
      </c>
    </row>
    <row r="25" customFormat="false" ht="15" hidden="false" customHeight="false" outlineLevel="0" collapsed="false">
      <c r="A25" s="0" t="s">
        <v>59</v>
      </c>
      <c r="B25" s="0" t="s">
        <v>60</v>
      </c>
      <c r="C25" s="0" t="n">
        <v>1090000</v>
      </c>
    </row>
    <row r="26" customFormat="false" ht="15" hidden="false" customHeight="false" outlineLevel="0" collapsed="false">
      <c r="A26" s="0" t="s">
        <v>61</v>
      </c>
      <c r="B26" s="0" t="s">
        <v>62</v>
      </c>
      <c r="C26" s="0" t="n">
        <v>11080000</v>
      </c>
    </row>
    <row r="27" customFormat="false" ht="15" hidden="false" customHeight="false" outlineLevel="0" collapsed="false">
      <c r="A27" s="0" t="s">
        <v>63</v>
      </c>
      <c r="B27" s="0" t="s">
        <v>64</v>
      </c>
      <c r="C27" s="0" t="n">
        <v>2220000</v>
      </c>
    </row>
    <row r="28" customFormat="false" ht="15" hidden="false" customHeight="false" outlineLevel="0" collapsed="false">
      <c r="A28" s="0" t="s">
        <v>65</v>
      </c>
      <c r="B28" s="0" t="s">
        <v>66</v>
      </c>
      <c r="C28" s="0" t="n">
        <v>8860000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2026-09-21T18:47:02Z</dcterms:created>
  <dc:creator>openpyxl</dc:creator>
  <dc:description/>
  <dc:language>en-US</dc:language>
  <cp:lastModifiedBy/>
  <dcterms:modified xsi:type="dcterms:W3CDTF">2026-09-21T18:47:02Z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